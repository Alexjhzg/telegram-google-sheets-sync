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EM-INE\Downloads\"/>
    </mc:Choice>
  </mc:AlternateContent>
  <bookViews>
    <workbookView xWindow="0" yWindow="0" windowWidth="16756" windowHeight="9766"/>
  </bookViews>
  <sheets>
    <sheet name="Hoja1" sheetId="2" r:id="rId1"/>
    <sheet name="Hoja2" sheetId="4" r:id="rId2"/>
  </sheets>
  <definedNames>
    <definedName name="_xlnm._FilterDatabase" localSheetId="0" hidden="1">Hoja1!$A$1:$D$48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  <c r="C15" i="4"/>
  <c r="D15" i="4"/>
  <c r="B15" i="4"/>
  <c r="E49" i="2"/>
  <c r="D49" i="2"/>
  <c r="C49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</calcChain>
</file>

<file path=xl/comments1.xml><?xml version="1.0" encoding="utf-8"?>
<comments xmlns="http://schemas.openxmlformats.org/spreadsheetml/2006/main">
  <authors>
    <author>SEEM-INE</author>
  </authors>
  <commentList>
    <comment ref="E2" authorId="0" shapeId="0">
      <text>
        <r>
          <rPr>
            <b/>
            <sz val="14"/>
            <color indexed="81"/>
            <rFont val="Tahoma"/>
            <family val="2"/>
          </rPr>
          <t>SEEM-INE:
Problema: Este nodo reporta varias veces al día por cada encuestador.
Acción a tomar: Seguir las indicaciones dadas y realizar un único reporte al final del día.</t>
        </r>
      </text>
    </comment>
  </commentList>
</comments>
</file>

<file path=xl/comments2.xml><?xml version="1.0" encoding="utf-8"?>
<comments xmlns="http://schemas.openxmlformats.org/spreadsheetml/2006/main">
  <authors>
    <author>SEEM-INE</author>
  </authors>
  <commentList>
    <comment ref="D2" authorId="0" shapeId="0">
      <text>
        <r>
          <rPr>
            <b/>
            <sz val="14"/>
            <color indexed="81"/>
            <rFont val="Tahoma"/>
            <family val="2"/>
          </rPr>
          <t>SEEM-INE:
Problema: Este nodo reporta varias veces al día por cada encuestador.
Acción a tomar: Seguir las indicaciones dadas y realizar un único reporte al final del día.</t>
        </r>
      </text>
    </comment>
  </commentList>
</comments>
</file>

<file path=xl/sharedStrings.xml><?xml version="1.0" encoding="utf-8"?>
<sst xmlns="http://schemas.openxmlformats.org/spreadsheetml/2006/main" count="122" uniqueCount="24">
  <si>
    <t>Acosta</t>
  </si>
  <si>
    <t>Aguasay</t>
  </si>
  <si>
    <t>Bolivar</t>
  </si>
  <si>
    <t>Caripe</t>
  </si>
  <si>
    <t>Cedeño</t>
  </si>
  <si>
    <t>Ezequiel Zamora</t>
  </si>
  <si>
    <t xml:space="preserve">Libertador </t>
  </si>
  <si>
    <t>Maturin</t>
  </si>
  <si>
    <t>Piar</t>
  </si>
  <si>
    <t>Punceres</t>
  </si>
  <si>
    <t>Santa Barbara</t>
  </si>
  <si>
    <t>Sotillo</t>
  </si>
  <si>
    <t>Uracoa</t>
  </si>
  <si>
    <t>TOTAL</t>
  </si>
  <si>
    <t>Municipio</t>
  </si>
  <si>
    <t>Nodo</t>
  </si>
  <si>
    <t>Verificadores en el Nodo</t>
  </si>
  <si>
    <t>Verificadores con Salida a Campo</t>
  </si>
  <si>
    <t>Verificadores sin Salida a Campo</t>
  </si>
  <si>
    <t>Fecha</t>
  </si>
  <si>
    <t>Libertador</t>
  </si>
  <si>
    <t>No Reportados</t>
  </si>
  <si>
    <t>S</t>
  </si>
  <si>
    <t>Reportó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</si>
</sst>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14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0" borderId="0" xfId="0" applyNumberFormat="1" applyAlignment="1">
      <alignment horizontal="left" vertical="center"/>
    </xf>
    <xf numFmtId="0" fontId="0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>
    <tabColor theme="4" tint="0.59999389629810485"/>
  </sheetPr>
  <dimension ref="A1:G49"/>
  <sheetViews>
    <sheetView tabSelected="1" zoomScale="80" zoomScaleNormal="80" workbookViewId="0"/>
  </sheetViews>
  <sheetFormatPr baseColWidth="10" defaultRowHeight="15.05" x14ac:dyDescent="0.3"/>
  <cols>
    <col min="1" max="1" width="13.6640625" style="1" bestFit="1" customWidth="1"/>
    <col min="2" max="2" width="6" style="1" bestFit="1" customWidth="1"/>
    <col min="3" max="3" width="15.21875" style="3" bestFit="1" customWidth="1"/>
    <col min="4" max="4" width="14.5546875" bestFit="1" customWidth="1"/>
    <col min="5" max="5" width="14" style="2" bestFit="1" customWidth="1"/>
    <col min="6" max="6" width="8.6640625" style="2" bestFit="1" customWidth="1"/>
    <col min="7" max="7" width="9.5546875" bestFit="1" customWidth="1"/>
  </cols>
  <sheetData>
    <row r="1" spans="1:7" ht="30.8" customHeight="1" thickBot="1" x14ac:dyDescent="0.35">
      <c r="A1" s="5" t="s">
        <v>14</v>
      </c>
      <c r="B1" s="6" t="s">
        <v>15</v>
      </c>
      <c r="C1" s="7" t="s">
        <v>16</v>
      </c>
      <c r="D1" s="7" t="s">
        <v>17</v>
      </c>
      <c r="E1" s="7" t="s">
        <v>18</v>
      </c>
      <c r="F1" s="18" t="s">
        <v>23</v>
      </c>
      <c r="G1" s="8" t="s">
        <v>19</v>
      </c>
    </row>
    <row r="2" spans="1:7" x14ac:dyDescent="0.3">
      <c r="A2" s="9" t="s">
        <v>0</v>
      </c>
      <c r="B2" s="9">
        <v>16074</v>
      </c>
      <c r="C2" s="9">
        <v>2</v>
      </c>
      <c r="D2" s="9">
        <v>4</v>
      </c>
      <c r="E2" s="15">
        <f>C2-D2</f>
        <v>-2</v>
      </c>
      <c r="F2" s="2" t="s">
        <v>22</v>
      </c>
      <c r="G2" s="4">
        <v>46245</v>
      </c>
    </row>
    <row r="3" spans="1:7" x14ac:dyDescent="0.3">
      <c r="A3" s="9" t="s">
        <v>0</v>
      </c>
      <c r="B3" s="9">
        <v>16104</v>
      </c>
      <c r="C3" s="9">
        <v>1</v>
      </c>
      <c r="D3" s="9">
        <v>1</v>
      </c>
      <c r="E3" s="9">
        <f t="shared" ref="E3:E48" si="0">C3-D3</f>
        <v>0</v>
      </c>
      <c r="F3" s="2" t="s">
        <v>22</v>
      </c>
      <c r="G3" s="4">
        <v>46245</v>
      </c>
    </row>
    <row r="4" spans="1:7" x14ac:dyDescent="0.3">
      <c r="A4" s="9" t="s">
        <v>1</v>
      </c>
      <c r="B4" s="9">
        <v>16003</v>
      </c>
      <c r="C4" s="9">
        <v>2</v>
      </c>
      <c r="D4" s="9">
        <v>2</v>
      </c>
      <c r="E4" s="9">
        <f t="shared" si="0"/>
        <v>0</v>
      </c>
      <c r="F4" s="2" t="s">
        <v>22</v>
      </c>
      <c r="G4" s="4">
        <v>46245</v>
      </c>
    </row>
    <row r="5" spans="1:7" x14ac:dyDescent="0.3">
      <c r="A5" s="9" t="s">
        <v>2</v>
      </c>
      <c r="B5" s="9">
        <v>16060</v>
      </c>
      <c r="C5" s="9">
        <v>1</v>
      </c>
      <c r="D5" s="9">
        <v>1</v>
      </c>
      <c r="E5" s="9">
        <f t="shared" si="0"/>
        <v>0</v>
      </c>
      <c r="F5" s="2" t="s">
        <v>22</v>
      </c>
      <c r="G5" s="4">
        <v>46245</v>
      </c>
    </row>
    <row r="6" spans="1:7" x14ac:dyDescent="0.3">
      <c r="A6" s="9" t="s">
        <v>2</v>
      </c>
      <c r="B6" s="9">
        <v>16102</v>
      </c>
      <c r="C6" s="9">
        <v>2</v>
      </c>
      <c r="D6" s="9">
        <v>2</v>
      </c>
      <c r="E6" s="9">
        <f t="shared" si="0"/>
        <v>0</v>
      </c>
      <c r="F6" s="2" t="s">
        <v>22</v>
      </c>
      <c r="G6" s="4">
        <v>46245</v>
      </c>
    </row>
    <row r="7" spans="1:7" x14ac:dyDescent="0.3">
      <c r="A7" s="9" t="s">
        <v>3</v>
      </c>
      <c r="B7" s="9">
        <v>16105</v>
      </c>
      <c r="C7" s="9">
        <v>3</v>
      </c>
      <c r="D7" s="9">
        <v>3</v>
      </c>
      <c r="E7" s="9">
        <f t="shared" si="0"/>
        <v>0</v>
      </c>
      <c r="F7" s="2" t="s">
        <v>22</v>
      </c>
      <c r="G7" s="4">
        <v>46245</v>
      </c>
    </row>
    <row r="8" spans="1:7" x14ac:dyDescent="0.3">
      <c r="A8" s="9" t="s">
        <v>3</v>
      </c>
      <c r="B8" s="9">
        <v>16044</v>
      </c>
      <c r="C8" s="9">
        <v>2</v>
      </c>
      <c r="D8" s="9">
        <v>2</v>
      </c>
      <c r="E8" s="9">
        <f t="shared" si="0"/>
        <v>0</v>
      </c>
      <c r="F8" s="2" t="s">
        <v>22</v>
      </c>
      <c r="G8" s="4">
        <v>46245</v>
      </c>
    </row>
    <row r="9" spans="1:7" x14ac:dyDescent="0.3">
      <c r="A9" s="9" t="s">
        <v>4</v>
      </c>
      <c r="B9" s="9">
        <v>16108</v>
      </c>
      <c r="C9" s="9">
        <v>1</v>
      </c>
      <c r="D9" s="9">
        <v>1</v>
      </c>
      <c r="E9" s="9">
        <f t="shared" si="0"/>
        <v>0</v>
      </c>
      <c r="F9" s="2" t="s">
        <v>22</v>
      </c>
      <c r="G9" s="4">
        <v>46245</v>
      </c>
    </row>
    <row r="10" spans="1:7" x14ac:dyDescent="0.3">
      <c r="A10" s="9" t="s">
        <v>4</v>
      </c>
      <c r="B10" s="9">
        <v>16018</v>
      </c>
      <c r="C10" s="9">
        <v>2</v>
      </c>
      <c r="D10" s="9">
        <v>1</v>
      </c>
      <c r="E10" s="9">
        <f t="shared" si="0"/>
        <v>1</v>
      </c>
      <c r="F10" s="2" t="s">
        <v>22</v>
      </c>
      <c r="G10" s="4">
        <v>46245</v>
      </c>
    </row>
    <row r="11" spans="1:7" x14ac:dyDescent="0.3">
      <c r="A11" s="9" t="s">
        <v>4</v>
      </c>
      <c r="B11" s="9">
        <v>16092</v>
      </c>
      <c r="C11" s="9">
        <v>1</v>
      </c>
      <c r="D11" s="9">
        <v>1</v>
      </c>
      <c r="E11" s="9">
        <f t="shared" si="0"/>
        <v>0</v>
      </c>
      <c r="F11" s="2" t="s">
        <v>22</v>
      </c>
      <c r="G11" s="4">
        <v>46245</v>
      </c>
    </row>
    <row r="12" spans="1:7" x14ac:dyDescent="0.3">
      <c r="A12" s="9" t="s">
        <v>5</v>
      </c>
      <c r="B12" s="9">
        <v>16071</v>
      </c>
      <c r="C12" s="9">
        <v>3</v>
      </c>
      <c r="D12" s="9">
        <v>3</v>
      </c>
      <c r="E12" s="9">
        <f t="shared" si="0"/>
        <v>0</v>
      </c>
      <c r="F12" s="2" t="s">
        <v>22</v>
      </c>
      <c r="G12" s="4">
        <v>46245</v>
      </c>
    </row>
    <row r="13" spans="1:7" x14ac:dyDescent="0.3">
      <c r="A13" s="9" t="s">
        <v>5</v>
      </c>
      <c r="B13" s="9">
        <v>16033</v>
      </c>
      <c r="C13" s="9">
        <v>3</v>
      </c>
      <c r="D13" s="9">
        <v>3</v>
      </c>
      <c r="E13" s="9">
        <f t="shared" si="0"/>
        <v>0</v>
      </c>
      <c r="F13" s="2" t="s">
        <v>22</v>
      </c>
      <c r="G13" s="4">
        <v>46245</v>
      </c>
    </row>
    <row r="14" spans="1:7" x14ac:dyDescent="0.3">
      <c r="A14" s="9" t="s">
        <v>6</v>
      </c>
      <c r="B14" s="9">
        <v>16086</v>
      </c>
      <c r="C14" s="9">
        <v>4</v>
      </c>
      <c r="D14" s="9">
        <v>4</v>
      </c>
      <c r="E14" s="9">
        <f t="shared" si="0"/>
        <v>0</v>
      </c>
      <c r="F14" s="2" t="s">
        <v>22</v>
      </c>
      <c r="G14" s="4">
        <v>46245</v>
      </c>
    </row>
    <row r="15" spans="1:7" x14ac:dyDescent="0.3">
      <c r="A15" s="9" t="s">
        <v>6</v>
      </c>
      <c r="B15" s="9">
        <v>16023</v>
      </c>
      <c r="C15" s="9">
        <v>1</v>
      </c>
      <c r="D15" s="9">
        <v>1</v>
      </c>
      <c r="E15" s="9">
        <f t="shared" si="0"/>
        <v>0</v>
      </c>
      <c r="F15" s="2" t="s">
        <v>22</v>
      </c>
      <c r="G15" s="4">
        <v>46245</v>
      </c>
    </row>
    <row r="16" spans="1:7" x14ac:dyDescent="0.3">
      <c r="A16" s="9" t="s">
        <v>7</v>
      </c>
      <c r="B16" s="9">
        <v>16004</v>
      </c>
      <c r="C16" s="9">
        <v>2</v>
      </c>
      <c r="D16" s="9">
        <v>2</v>
      </c>
      <c r="E16" s="9">
        <f t="shared" si="0"/>
        <v>0</v>
      </c>
      <c r="F16" s="2" t="s">
        <v>22</v>
      </c>
      <c r="G16" s="4">
        <v>46245</v>
      </c>
    </row>
    <row r="17" spans="1:7" x14ac:dyDescent="0.3">
      <c r="A17" s="9" t="s">
        <v>7</v>
      </c>
      <c r="B17" s="9">
        <v>16012</v>
      </c>
      <c r="C17" s="9">
        <v>3</v>
      </c>
      <c r="D17" s="9">
        <v>3</v>
      </c>
      <c r="E17" s="9">
        <f t="shared" si="0"/>
        <v>0</v>
      </c>
      <c r="F17" s="2" t="s">
        <v>22</v>
      </c>
      <c r="G17" s="4">
        <v>46245</v>
      </c>
    </row>
    <row r="18" spans="1:7" x14ac:dyDescent="0.3">
      <c r="A18" s="9" t="s">
        <v>7</v>
      </c>
      <c r="B18" s="9">
        <v>16015</v>
      </c>
      <c r="C18" s="9">
        <v>1</v>
      </c>
      <c r="D18" s="9">
        <v>1</v>
      </c>
      <c r="E18" s="9">
        <f t="shared" si="0"/>
        <v>0</v>
      </c>
      <c r="F18" s="2" t="s">
        <v>22</v>
      </c>
      <c r="G18" s="4">
        <v>46245</v>
      </c>
    </row>
    <row r="19" spans="1:7" x14ac:dyDescent="0.3">
      <c r="A19" s="9" t="s">
        <v>7</v>
      </c>
      <c r="B19" s="9">
        <v>16036</v>
      </c>
      <c r="C19" s="9">
        <v>2</v>
      </c>
      <c r="D19" s="9">
        <v>2</v>
      </c>
      <c r="E19" s="9">
        <f t="shared" si="0"/>
        <v>0</v>
      </c>
      <c r="F19" s="2" t="s">
        <v>22</v>
      </c>
      <c r="G19" s="4">
        <v>46245</v>
      </c>
    </row>
    <row r="20" spans="1:7" x14ac:dyDescent="0.3">
      <c r="A20" s="9" t="s">
        <v>7</v>
      </c>
      <c r="B20" s="9">
        <v>16063</v>
      </c>
      <c r="C20" s="9">
        <v>1</v>
      </c>
      <c r="D20" s="9">
        <v>1</v>
      </c>
      <c r="E20" s="9">
        <f t="shared" si="0"/>
        <v>0</v>
      </c>
      <c r="F20" s="2" t="s">
        <v>22</v>
      </c>
      <c r="G20" s="4">
        <v>46245</v>
      </c>
    </row>
    <row r="21" spans="1:7" x14ac:dyDescent="0.3">
      <c r="A21" s="9" t="s">
        <v>7</v>
      </c>
      <c r="B21" s="9">
        <v>16066</v>
      </c>
      <c r="C21" s="9">
        <v>2</v>
      </c>
      <c r="D21" s="9">
        <v>0</v>
      </c>
      <c r="E21" s="9">
        <f t="shared" si="0"/>
        <v>2</v>
      </c>
      <c r="F21" s="2" t="s">
        <v>22</v>
      </c>
      <c r="G21" s="4">
        <v>46245</v>
      </c>
    </row>
    <row r="22" spans="1:7" x14ac:dyDescent="0.3">
      <c r="A22" s="9" t="s">
        <v>7</v>
      </c>
      <c r="B22" s="9">
        <v>16025</v>
      </c>
      <c r="C22" s="9">
        <v>3</v>
      </c>
      <c r="D22" s="9">
        <v>3</v>
      </c>
      <c r="E22" s="9">
        <f t="shared" si="0"/>
        <v>0</v>
      </c>
      <c r="F22" s="2" t="s">
        <v>22</v>
      </c>
      <c r="G22" s="4">
        <v>46245</v>
      </c>
    </row>
    <row r="23" spans="1:7" x14ac:dyDescent="0.3">
      <c r="A23" s="9" t="s">
        <v>7</v>
      </c>
      <c r="B23" s="9">
        <v>16061</v>
      </c>
      <c r="C23" s="9">
        <v>3</v>
      </c>
      <c r="D23" s="9">
        <v>3</v>
      </c>
      <c r="E23" s="9">
        <f t="shared" si="0"/>
        <v>0</v>
      </c>
      <c r="F23" s="2" t="s">
        <v>22</v>
      </c>
      <c r="G23" s="4">
        <v>46245</v>
      </c>
    </row>
    <row r="24" spans="1:7" x14ac:dyDescent="0.3">
      <c r="A24" s="9" t="s">
        <v>7</v>
      </c>
      <c r="B24" s="9">
        <v>16097</v>
      </c>
      <c r="C24" s="9">
        <v>1</v>
      </c>
      <c r="D24" s="9">
        <v>1</v>
      </c>
      <c r="E24" s="9">
        <f t="shared" si="0"/>
        <v>0</v>
      </c>
      <c r="F24" s="2" t="s">
        <v>22</v>
      </c>
      <c r="G24" s="4">
        <v>46245</v>
      </c>
    </row>
    <row r="25" spans="1:7" x14ac:dyDescent="0.3">
      <c r="A25" s="9" t="s">
        <v>7</v>
      </c>
      <c r="B25" s="9">
        <v>16094</v>
      </c>
      <c r="C25" s="9">
        <v>2</v>
      </c>
      <c r="D25" s="9">
        <v>2</v>
      </c>
      <c r="E25" s="9">
        <f t="shared" si="0"/>
        <v>0</v>
      </c>
      <c r="F25" s="2" t="s">
        <v>22</v>
      </c>
      <c r="G25" s="4">
        <v>46245</v>
      </c>
    </row>
    <row r="26" spans="1:7" x14ac:dyDescent="0.3">
      <c r="A26" s="9" t="s">
        <v>7</v>
      </c>
      <c r="B26" s="9">
        <v>16042</v>
      </c>
      <c r="C26" s="9">
        <v>2</v>
      </c>
      <c r="D26" s="9">
        <v>2</v>
      </c>
      <c r="E26" s="9">
        <f t="shared" si="0"/>
        <v>0</v>
      </c>
      <c r="F26" s="2" t="s">
        <v>22</v>
      </c>
      <c r="G26" s="4">
        <v>46245</v>
      </c>
    </row>
    <row r="27" spans="1:7" x14ac:dyDescent="0.3">
      <c r="A27" s="9" t="s">
        <v>7</v>
      </c>
      <c r="B27" s="9">
        <v>16082</v>
      </c>
      <c r="C27" s="9">
        <v>3</v>
      </c>
      <c r="D27" s="9">
        <v>3</v>
      </c>
      <c r="E27" s="9">
        <f t="shared" si="0"/>
        <v>0</v>
      </c>
      <c r="F27" s="2" t="s">
        <v>22</v>
      </c>
      <c r="G27" s="4">
        <v>46245</v>
      </c>
    </row>
    <row r="28" spans="1:7" x14ac:dyDescent="0.3">
      <c r="A28" s="9" t="s">
        <v>7</v>
      </c>
      <c r="B28" s="9">
        <v>16001</v>
      </c>
      <c r="C28" s="9">
        <v>3</v>
      </c>
      <c r="D28" s="9">
        <v>3</v>
      </c>
      <c r="E28" s="9">
        <f t="shared" si="0"/>
        <v>0</v>
      </c>
      <c r="F28" s="2" t="s">
        <v>22</v>
      </c>
      <c r="G28" s="4">
        <v>46245</v>
      </c>
    </row>
    <row r="29" spans="1:7" x14ac:dyDescent="0.3">
      <c r="A29" s="9" t="s">
        <v>7</v>
      </c>
      <c r="B29" s="9">
        <v>16016</v>
      </c>
      <c r="C29" s="9">
        <v>1</v>
      </c>
      <c r="D29" s="9">
        <v>1</v>
      </c>
      <c r="E29" s="9">
        <f t="shared" si="0"/>
        <v>0</v>
      </c>
      <c r="F29" s="2" t="s">
        <v>22</v>
      </c>
      <c r="G29" s="4">
        <v>46245</v>
      </c>
    </row>
    <row r="30" spans="1:7" x14ac:dyDescent="0.3">
      <c r="A30" s="9" t="s">
        <v>7</v>
      </c>
      <c r="B30" s="9">
        <v>16017</v>
      </c>
      <c r="C30" s="9">
        <v>3</v>
      </c>
      <c r="D30" s="9">
        <v>3</v>
      </c>
      <c r="E30" s="9">
        <f t="shared" si="0"/>
        <v>0</v>
      </c>
      <c r="F30" s="2" t="s">
        <v>22</v>
      </c>
      <c r="G30" s="4">
        <v>46245</v>
      </c>
    </row>
    <row r="31" spans="1:7" x14ac:dyDescent="0.3">
      <c r="A31" s="9" t="s">
        <v>7</v>
      </c>
      <c r="B31" s="9">
        <v>16038</v>
      </c>
      <c r="C31" s="9">
        <v>2</v>
      </c>
      <c r="D31" s="9">
        <v>2</v>
      </c>
      <c r="E31" s="9">
        <f t="shared" si="0"/>
        <v>0</v>
      </c>
      <c r="F31" s="2" t="s">
        <v>22</v>
      </c>
      <c r="G31" s="4">
        <v>46245</v>
      </c>
    </row>
    <row r="32" spans="1:7" x14ac:dyDescent="0.3">
      <c r="A32" s="9" t="s">
        <v>7</v>
      </c>
      <c r="B32" s="9">
        <v>16051</v>
      </c>
      <c r="C32" s="9">
        <v>1</v>
      </c>
      <c r="D32" s="9">
        <v>1</v>
      </c>
      <c r="E32" s="9">
        <f t="shared" si="0"/>
        <v>0</v>
      </c>
      <c r="F32" s="2" t="s">
        <v>22</v>
      </c>
      <c r="G32" s="4">
        <v>46245</v>
      </c>
    </row>
    <row r="33" spans="1:7" x14ac:dyDescent="0.3">
      <c r="A33" s="9" t="s">
        <v>7</v>
      </c>
      <c r="B33" s="9">
        <v>16073</v>
      </c>
      <c r="C33" s="9">
        <v>2</v>
      </c>
      <c r="D33" s="9">
        <v>2</v>
      </c>
      <c r="E33" s="9">
        <f t="shared" si="0"/>
        <v>0</v>
      </c>
      <c r="F33" s="2" t="s">
        <v>22</v>
      </c>
      <c r="G33" s="4">
        <v>46245</v>
      </c>
    </row>
    <row r="34" spans="1:7" x14ac:dyDescent="0.3">
      <c r="A34" s="9" t="s">
        <v>7</v>
      </c>
      <c r="B34" s="9">
        <v>16114</v>
      </c>
      <c r="C34" s="9">
        <v>1</v>
      </c>
      <c r="D34" s="9">
        <v>1</v>
      </c>
      <c r="E34" s="9">
        <f t="shared" si="0"/>
        <v>0</v>
      </c>
      <c r="F34" s="2" t="s">
        <v>22</v>
      </c>
      <c r="G34" s="4">
        <v>46245</v>
      </c>
    </row>
    <row r="35" spans="1:7" x14ac:dyDescent="0.3">
      <c r="A35" s="9" t="s">
        <v>7</v>
      </c>
      <c r="B35" s="9">
        <v>16115</v>
      </c>
      <c r="C35" s="9">
        <v>3</v>
      </c>
      <c r="D35" s="9">
        <v>3</v>
      </c>
      <c r="E35" s="9">
        <f t="shared" si="0"/>
        <v>0</v>
      </c>
      <c r="F35" s="2" t="s">
        <v>22</v>
      </c>
      <c r="G35" s="4">
        <v>46245</v>
      </c>
    </row>
    <row r="36" spans="1:7" x14ac:dyDescent="0.3">
      <c r="A36" s="9" t="s">
        <v>7</v>
      </c>
      <c r="B36" s="9">
        <v>16050</v>
      </c>
      <c r="C36" s="9">
        <v>2</v>
      </c>
      <c r="D36" s="9">
        <v>2</v>
      </c>
      <c r="E36" s="9">
        <f t="shared" si="0"/>
        <v>0</v>
      </c>
      <c r="F36" s="2" t="s">
        <v>22</v>
      </c>
      <c r="G36" s="4">
        <v>46245</v>
      </c>
    </row>
    <row r="37" spans="1:7" x14ac:dyDescent="0.3">
      <c r="A37" s="9" t="s">
        <v>7</v>
      </c>
      <c r="B37" s="9">
        <v>16054</v>
      </c>
      <c r="C37" s="9">
        <v>2</v>
      </c>
      <c r="D37" s="9">
        <v>2</v>
      </c>
      <c r="E37" s="9">
        <f t="shared" si="0"/>
        <v>0</v>
      </c>
      <c r="F37" s="2" t="s">
        <v>22</v>
      </c>
      <c r="G37" s="4">
        <v>46245</v>
      </c>
    </row>
    <row r="38" spans="1:7" x14ac:dyDescent="0.3">
      <c r="A38" s="9" t="s">
        <v>7</v>
      </c>
      <c r="B38" s="9">
        <v>16079</v>
      </c>
      <c r="C38" s="9">
        <v>1</v>
      </c>
      <c r="D38" s="9">
        <v>1</v>
      </c>
      <c r="E38" s="9">
        <f t="shared" si="0"/>
        <v>0</v>
      </c>
      <c r="F38" s="2" t="s">
        <v>22</v>
      </c>
      <c r="G38" s="4">
        <v>46245</v>
      </c>
    </row>
    <row r="39" spans="1:7" x14ac:dyDescent="0.3">
      <c r="A39" s="9" t="s">
        <v>8</v>
      </c>
      <c r="B39" s="9">
        <v>16022</v>
      </c>
      <c r="C39" s="9">
        <v>2</v>
      </c>
      <c r="D39" s="9">
        <v>1</v>
      </c>
      <c r="E39" s="9">
        <f t="shared" si="0"/>
        <v>1</v>
      </c>
      <c r="F39" s="2" t="s">
        <v>22</v>
      </c>
      <c r="G39" s="4">
        <v>46245</v>
      </c>
    </row>
    <row r="40" spans="1:7" x14ac:dyDescent="0.3">
      <c r="A40" s="9" t="s">
        <v>8</v>
      </c>
      <c r="B40" s="9">
        <v>16028</v>
      </c>
      <c r="C40" s="9">
        <v>1</v>
      </c>
      <c r="D40" s="9">
        <v>1</v>
      </c>
      <c r="E40" s="9">
        <f t="shared" si="0"/>
        <v>0</v>
      </c>
      <c r="F40" s="2" t="s">
        <v>22</v>
      </c>
      <c r="G40" s="4">
        <v>46245</v>
      </c>
    </row>
    <row r="41" spans="1:7" x14ac:dyDescent="0.3">
      <c r="A41" s="9" t="s">
        <v>8</v>
      </c>
      <c r="B41" s="9">
        <v>16009</v>
      </c>
      <c r="C41" s="9">
        <v>4</v>
      </c>
      <c r="D41" s="9">
        <v>4</v>
      </c>
      <c r="E41" s="9">
        <f t="shared" si="0"/>
        <v>0</v>
      </c>
      <c r="F41" s="2" t="s">
        <v>22</v>
      </c>
      <c r="G41" s="4">
        <v>46245</v>
      </c>
    </row>
    <row r="42" spans="1:7" x14ac:dyDescent="0.3">
      <c r="A42" s="9" t="s">
        <v>9</v>
      </c>
      <c r="B42" s="9">
        <v>16087</v>
      </c>
      <c r="C42" s="9">
        <v>1</v>
      </c>
      <c r="D42" s="9">
        <v>1</v>
      </c>
      <c r="E42" s="9">
        <f t="shared" si="0"/>
        <v>0</v>
      </c>
      <c r="F42" s="2" t="s">
        <v>22</v>
      </c>
      <c r="G42" s="4">
        <v>46245</v>
      </c>
    </row>
    <row r="43" spans="1:7" x14ac:dyDescent="0.3">
      <c r="A43" s="9" t="s">
        <v>9</v>
      </c>
      <c r="B43" s="9">
        <v>16077</v>
      </c>
      <c r="C43" s="9">
        <v>2</v>
      </c>
      <c r="D43" s="9">
        <v>2</v>
      </c>
      <c r="E43" s="9">
        <f t="shared" si="0"/>
        <v>0</v>
      </c>
      <c r="F43" s="2" t="s">
        <v>22</v>
      </c>
      <c r="G43" s="4">
        <v>46245</v>
      </c>
    </row>
    <row r="44" spans="1:7" x14ac:dyDescent="0.3">
      <c r="A44" s="9" t="s">
        <v>10</v>
      </c>
      <c r="B44" s="9">
        <v>16080</v>
      </c>
      <c r="C44" s="9">
        <v>2</v>
      </c>
      <c r="D44" s="9">
        <v>2</v>
      </c>
      <c r="E44" s="9">
        <f t="shared" si="0"/>
        <v>0</v>
      </c>
      <c r="F44" s="2" t="s">
        <v>22</v>
      </c>
      <c r="G44" s="4">
        <v>46245</v>
      </c>
    </row>
    <row r="45" spans="1:7" x14ac:dyDescent="0.3">
      <c r="A45" s="9" t="s">
        <v>10</v>
      </c>
      <c r="B45" s="9">
        <v>16101</v>
      </c>
      <c r="C45" s="9">
        <v>1</v>
      </c>
      <c r="D45" s="9">
        <v>1</v>
      </c>
      <c r="E45" s="9">
        <f t="shared" si="0"/>
        <v>0</v>
      </c>
      <c r="F45" s="2" t="s">
        <v>22</v>
      </c>
      <c r="G45" s="4">
        <v>46245</v>
      </c>
    </row>
    <row r="46" spans="1:7" x14ac:dyDescent="0.3">
      <c r="A46" s="9" t="s">
        <v>11</v>
      </c>
      <c r="B46" s="9">
        <v>16010</v>
      </c>
      <c r="C46" s="9">
        <v>1</v>
      </c>
      <c r="D46" s="9">
        <v>1</v>
      </c>
      <c r="E46" s="9">
        <f t="shared" si="0"/>
        <v>0</v>
      </c>
      <c r="F46" s="2" t="s">
        <v>22</v>
      </c>
      <c r="G46" s="4">
        <v>46245</v>
      </c>
    </row>
    <row r="47" spans="1:7" x14ac:dyDescent="0.3">
      <c r="A47" s="9" t="s">
        <v>11</v>
      </c>
      <c r="B47" s="9">
        <v>16056</v>
      </c>
      <c r="C47" s="9">
        <v>1</v>
      </c>
      <c r="D47" s="9">
        <v>1</v>
      </c>
      <c r="E47" s="9">
        <f t="shared" si="0"/>
        <v>0</v>
      </c>
      <c r="F47" s="2" t="s">
        <v>22</v>
      </c>
      <c r="G47" s="4">
        <v>46245</v>
      </c>
    </row>
    <row r="48" spans="1:7" x14ac:dyDescent="0.3">
      <c r="A48" s="9" t="s">
        <v>12</v>
      </c>
      <c r="B48" s="9">
        <v>16088</v>
      </c>
      <c r="C48" s="9">
        <v>2</v>
      </c>
      <c r="D48" s="9">
        <v>1</v>
      </c>
      <c r="E48" s="9">
        <f t="shared" si="0"/>
        <v>1</v>
      </c>
      <c r="F48" s="2" t="s">
        <v>22</v>
      </c>
      <c r="G48" s="4">
        <v>46245</v>
      </c>
    </row>
    <row r="49" spans="1:7" x14ac:dyDescent="0.3">
      <c r="A49" s="10" t="s">
        <v>13</v>
      </c>
      <c r="B49" s="10"/>
      <c r="C49" s="10">
        <f>SUM(C1:C48)</f>
        <v>91</v>
      </c>
      <c r="D49" s="10">
        <f>SUM(D1:D48)</f>
        <v>88</v>
      </c>
      <c r="E49" s="10">
        <f>SUM(E1:E48)</f>
        <v>3</v>
      </c>
      <c r="F49" s="10"/>
      <c r="G49" s="10"/>
    </row>
  </sheetData>
  <conditionalFormatting sqref="D4:D48">
    <cfRule type="cellIs" dxfId="64" priority="49" operator="equal">
      <formula>"NR"</formula>
    </cfRule>
  </conditionalFormatting>
  <conditionalFormatting sqref="D4:D48">
    <cfRule type="cellIs" dxfId="63" priority="48" operator="lessThan">
      <formula>$C4</formula>
    </cfRule>
  </conditionalFormatting>
  <conditionalFormatting sqref="E2:E48">
    <cfRule type="cellIs" dxfId="62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baseColWidth="10" defaultRowHeight="15.05" x14ac:dyDescent="0.3"/>
  <sheetData>
    <row r="1" spans="1:8" ht="45.85" thickBot="1" x14ac:dyDescent="0.35">
      <c r="A1" s="5" t="s">
        <v>14</v>
      </c>
      <c r="B1" s="7" t="s">
        <v>16</v>
      </c>
      <c r="C1" s="7" t="s">
        <v>17</v>
      </c>
      <c r="D1" s="7" t="s">
        <v>18</v>
      </c>
      <c r="E1" s="7" t="s">
        <v>21</v>
      </c>
      <c r="F1" s="8" t="s">
        <v>19</v>
      </c>
    </row>
    <row r="2" spans="1:8" x14ac:dyDescent="0.3">
      <c r="A2" t="s">
        <v>0</v>
      </c>
      <c r="B2" s="1">
        <v>3</v>
      </c>
      <c r="C2" s="1">
        <v>5</v>
      </c>
      <c r="D2" s="16">
        <v>-2</v>
      </c>
      <c r="E2" s="17">
        <v>0</v>
      </c>
      <c r="F2" s="4">
        <v>46245</v>
      </c>
    </row>
    <row r="3" spans="1:8" x14ac:dyDescent="0.3">
      <c r="A3" t="s">
        <v>1</v>
      </c>
      <c r="B3" s="1">
        <v>2</v>
      </c>
      <c r="C3" s="1">
        <v>2</v>
      </c>
      <c r="D3" s="1">
        <v>0</v>
      </c>
      <c r="E3" s="1">
        <v>0</v>
      </c>
      <c r="F3" s="4">
        <v>46245</v>
      </c>
      <c r="H3" s="13"/>
    </row>
    <row r="4" spans="1:8" x14ac:dyDescent="0.3">
      <c r="A4" t="s">
        <v>2</v>
      </c>
      <c r="B4" s="1">
        <v>3</v>
      </c>
      <c r="C4" s="1">
        <v>3</v>
      </c>
      <c r="D4" s="1">
        <v>0</v>
      </c>
      <c r="E4" s="1">
        <v>0</v>
      </c>
      <c r="F4" s="4">
        <v>46245</v>
      </c>
      <c r="H4" s="14"/>
    </row>
    <row r="5" spans="1:8" x14ac:dyDescent="0.3">
      <c r="A5" t="s">
        <v>3</v>
      </c>
      <c r="B5" s="1">
        <v>5</v>
      </c>
      <c r="C5" s="1">
        <v>5</v>
      </c>
      <c r="D5" s="1">
        <v>0</v>
      </c>
      <c r="E5" s="1">
        <v>0</v>
      </c>
      <c r="F5" s="4">
        <v>46245</v>
      </c>
    </row>
    <row r="6" spans="1:8" x14ac:dyDescent="0.3">
      <c r="A6" t="s">
        <v>4</v>
      </c>
      <c r="B6" s="1">
        <v>4</v>
      </c>
      <c r="C6" s="1">
        <v>3</v>
      </c>
      <c r="D6" s="1">
        <v>1</v>
      </c>
      <c r="E6" s="1">
        <v>0</v>
      </c>
      <c r="F6" s="4">
        <v>46245</v>
      </c>
    </row>
    <row r="7" spans="1:8" x14ac:dyDescent="0.3">
      <c r="A7" t="s">
        <v>5</v>
      </c>
      <c r="B7" s="1">
        <v>6</v>
      </c>
      <c r="C7" s="1">
        <v>6</v>
      </c>
      <c r="D7" s="1">
        <v>0</v>
      </c>
      <c r="E7" s="1">
        <v>0</v>
      </c>
      <c r="F7" s="4">
        <v>46245</v>
      </c>
    </row>
    <row r="8" spans="1:8" x14ac:dyDescent="0.3">
      <c r="A8" t="s">
        <v>20</v>
      </c>
      <c r="B8" s="1">
        <v>5</v>
      </c>
      <c r="C8" s="1">
        <v>5</v>
      </c>
      <c r="D8" s="1">
        <v>0</v>
      </c>
      <c r="E8" s="1">
        <v>0</v>
      </c>
      <c r="F8" s="4">
        <v>46245</v>
      </c>
    </row>
    <row r="9" spans="1:8" x14ac:dyDescent="0.3">
      <c r="A9" t="s">
        <v>7</v>
      </c>
      <c r="B9" s="1">
        <v>46</v>
      </c>
      <c r="C9" s="1">
        <v>44</v>
      </c>
      <c r="D9" s="1">
        <v>2</v>
      </c>
      <c r="E9" s="1">
        <v>0</v>
      </c>
      <c r="F9" s="4">
        <v>46245</v>
      </c>
    </row>
    <row r="10" spans="1:8" x14ac:dyDescent="0.3">
      <c r="A10" t="s">
        <v>8</v>
      </c>
      <c r="B10" s="1">
        <v>7</v>
      </c>
      <c r="C10" s="1">
        <v>6</v>
      </c>
      <c r="D10" s="1">
        <v>1</v>
      </c>
      <c r="E10" s="1">
        <v>0</v>
      </c>
      <c r="F10" s="4">
        <v>46245</v>
      </c>
    </row>
    <row r="11" spans="1:8" x14ac:dyDescent="0.3">
      <c r="A11" t="s">
        <v>9</v>
      </c>
      <c r="B11" s="1">
        <v>3</v>
      </c>
      <c r="C11" s="1">
        <v>3</v>
      </c>
      <c r="D11" s="1">
        <v>0</v>
      </c>
      <c r="E11" s="1">
        <v>0</v>
      </c>
      <c r="F11" s="4">
        <v>46245</v>
      </c>
    </row>
    <row r="12" spans="1:8" x14ac:dyDescent="0.3">
      <c r="A12" t="s">
        <v>10</v>
      </c>
      <c r="B12" s="1">
        <v>3</v>
      </c>
      <c r="C12" s="1">
        <v>3</v>
      </c>
      <c r="D12" s="1">
        <v>0</v>
      </c>
      <c r="E12" s="1">
        <v>0</v>
      </c>
      <c r="F12" s="4">
        <v>46245</v>
      </c>
    </row>
    <row r="13" spans="1:8" x14ac:dyDescent="0.3">
      <c r="A13" t="s">
        <v>11</v>
      </c>
      <c r="B13" s="1">
        <v>2</v>
      </c>
      <c r="C13" s="1">
        <v>2</v>
      </c>
      <c r="D13" s="1">
        <v>0</v>
      </c>
      <c r="E13" s="1">
        <v>0</v>
      </c>
      <c r="F13" s="4">
        <v>46245</v>
      </c>
    </row>
    <row r="14" spans="1:8" x14ac:dyDescent="0.3">
      <c r="A14" t="s">
        <v>12</v>
      </c>
      <c r="B14" s="1">
        <v>2</v>
      </c>
      <c r="C14" s="1">
        <v>1</v>
      </c>
      <c r="D14" s="1">
        <v>1</v>
      </c>
      <c r="E14" s="1">
        <v>0</v>
      </c>
      <c r="F14" s="4">
        <v>46245</v>
      </c>
    </row>
    <row r="15" spans="1:8" x14ac:dyDescent="0.3">
      <c r="A15" s="11" t="s">
        <v>13</v>
      </c>
      <c r="B15" s="11">
        <f>SUM(B2:B14)</f>
        <v>91</v>
      </c>
      <c r="C15" s="11">
        <f t="shared" ref="C15:E15" si="0">SUM(C2:C14)</f>
        <v>88</v>
      </c>
      <c r="D15" s="11">
        <f t="shared" si="0"/>
        <v>3</v>
      </c>
      <c r="E15" s="11">
        <f t="shared" si="0"/>
        <v>0</v>
      </c>
      <c r="F15" s="12"/>
    </row>
  </sheetData>
  <conditionalFormatting sqref="C2">
    <cfRule type="cellIs" dxfId="45" priority="29" operator="lessThan">
      <formula>$B2</formula>
    </cfRule>
  </conditionalFormatting>
  <conditionalFormatting sqref="C3">
    <cfRule type="cellIs" dxfId="44" priority="28" operator="lessThan">
      <formula>$B3</formula>
    </cfRule>
  </conditionalFormatting>
  <conditionalFormatting sqref="C4">
    <cfRule type="cellIs" dxfId="43" priority="27" operator="lessThan">
      <formula>$B4</formula>
    </cfRule>
  </conditionalFormatting>
  <conditionalFormatting sqref="C5">
    <cfRule type="cellIs" dxfId="42" priority="26" operator="lessThan">
      <formula>$B5</formula>
    </cfRule>
  </conditionalFormatting>
  <conditionalFormatting sqref="C6">
    <cfRule type="cellIs" dxfId="41" priority="25" operator="lessThan">
      <formula>$B6</formula>
    </cfRule>
  </conditionalFormatting>
  <conditionalFormatting sqref="C7">
    <cfRule type="cellIs" dxfId="40" priority="24" operator="lessThan">
      <formula>$B7</formula>
    </cfRule>
  </conditionalFormatting>
  <conditionalFormatting sqref="C8">
    <cfRule type="cellIs" dxfId="39" priority="23" operator="lessThan">
      <formula>$B8</formula>
    </cfRule>
  </conditionalFormatting>
  <conditionalFormatting sqref="C9">
    <cfRule type="cellIs" dxfId="38" priority="22" operator="lessThan">
      <formula>$B9</formula>
    </cfRule>
  </conditionalFormatting>
  <conditionalFormatting sqref="C10">
    <cfRule type="cellIs" dxfId="37" priority="21" operator="lessThan">
      <formula>$B10</formula>
    </cfRule>
  </conditionalFormatting>
  <conditionalFormatting sqref="C11">
    <cfRule type="cellIs" dxfId="36" priority="20" operator="lessThan">
      <formula>$B11</formula>
    </cfRule>
  </conditionalFormatting>
  <conditionalFormatting sqref="C12">
    <cfRule type="cellIs" dxfId="35" priority="19" operator="lessThan">
      <formula>$B12</formula>
    </cfRule>
  </conditionalFormatting>
  <conditionalFormatting sqref="C13">
    <cfRule type="cellIs" dxfId="34" priority="18" operator="lessThan">
      <formula>$B13</formula>
    </cfRule>
  </conditionalFormatting>
  <conditionalFormatting sqref="C14">
    <cfRule type="cellIs" dxfId="33" priority="17" operator="lessThan">
      <formula>$B14</formula>
    </cfRule>
  </conditionalFormatting>
  <conditionalFormatting sqref="D14">
    <cfRule type="cellIs" dxfId="32" priority="16" operator="greaterThan">
      <formula>0</formula>
    </cfRule>
  </conditionalFormatting>
  <conditionalFormatting sqref="D13">
    <cfRule type="cellIs" dxfId="11" priority="12" operator="greaterThan">
      <formula>0</formula>
    </cfRule>
  </conditionalFormatting>
  <conditionalFormatting sqref="D12">
    <cfRule type="cellIs" dxfId="10" priority="11" operator="greaterThan">
      <formula>0</formula>
    </cfRule>
  </conditionalFormatting>
  <conditionalFormatting sqref="D11">
    <cfRule type="cellIs" dxfId="9" priority="10" operator="greaterThan">
      <formula>0</formula>
    </cfRule>
  </conditionalFormatting>
  <conditionalFormatting sqref="D10">
    <cfRule type="cellIs" dxfId="8" priority="9" operator="greaterThan">
      <formula>0</formula>
    </cfRule>
  </conditionalFormatting>
  <conditionalFormatting sqref="D9">
    <cfRule type="cellIs" dxfId="7" priority="8" operator="greaterThan">
      <formula>0</formula>
    </cfRule>
  </conditionalFormatting>
  <conditionalFormatting sqref="D8">
    <cfRule type="cellIs" dxfId="6" priority="7" operator="greaterThan">
      <formula>0</formula>
    </cfRule>
  </conditionalFormatting>
  <conditionalFormatting sqref="D7">
    <cfRule type="cellIs" dxfId="5" priority="6" operator="greaterThan">
      <formula>0</formula>
    </cfRule>
  </conditionalFormatting>
  <conditionalFormatting sqref="D6">
    <cfRule type="cellIs" dxfId="4" priority="5" operator="greaterThan">
      <formula>0</formula>
    </cfRule>
  </conditionalFormatting>
  <conditionalFormatting sqref="D5">
    <cfRule type="cellIs" dxfId="3" priority="4" operator="greaterThan">
      <formula>0</formula>
    </cfRule>
  </conditionalFormatting>
  <conditionalFormatting sqref="D4">
    <cfRule type="cellIs" dxfId="2" priority="3" operator="greaterThan">
      <formula>0</formula>
    </cfRule>
  </conditionalFormatting>
  <conditionalFormatting sqref="D3">
    <cfRule type="cellIs" dxfId="1" priority="2" operator="greaterThan">
      <formula>0</formula>
    </cfRule>
  </conditionalFormatting>
  <conditionalFormatting sqref="D2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SEEM-INE</dc:creator>
  <cp:lastModifiedBy>SEEM-INE</cp:lastModifiedBy>
  <dcterms:created xsi:type="dcterms:W3CDTF">2026-08-12T13:15:34Z</dcterms:created>
  <dcterms:modified xsi:type="dcterms:W3CDTF">2026-08-12T16:45:19Z</dcterms:modified>
</cp:coreProperties>
</file>